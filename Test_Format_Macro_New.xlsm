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R:\Contract\EI-376 AMANDEEP KAUR\Break\"/>
    </mc:Choice>
  </mc:AlternateContent>
  <bookViews>
    <workbookView xWindow="0" yWindow="0" windowWidth="20490" windowHeight="7620"/>
  </bookViews>
  <sheets>
    <sheet name="Home" sheetId="29" r:id="rId1"/>
    <sheet name="Analysis_Pivot" sheetId="4" r:id="rId2"/>
    <sheet name="Data" sheetId="16" r:id="rId3"/>
  </sheets>
  <definedNames>
    <definedName name="_xlnm._FilterDatabase" localSheetId="1" hidden="1">Analysis_Pivot!$A$3:$U$3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4" l="1"/>
  <c r="F4" i="4"/>
  <c r="G4" i="4" s="1"/>
  <c r="J4" i="4"/>
  <c r="K4" i="4"/>
  <c r="L4" i="4"/>
  <c r="O4" i="4"/>
  <c r="F5" i="4"/>
  <c r="G5" i="4" s="1"/>
  <c r="I5" i="4"/>
  <c r="J5" i="4"/>
  <c r="K5" i="4"/>
  <c r="L5" i="4"/>
  <c r="O5" i="4"/>
  <c r="P5" i="4" l="1"/>
  <c r="U5" i="4"/>
  <c r="M5" i="4"/>
  <c r="N5" i="4"/>
  <c r="U4" i="4"/>
  <c r="P4" i="4"/>
  <c r="M4" i="4"/>
  <c r="N4" i="4"/>
  <c r="R5" i="4" l="1" a="1"/>
  <c r="R5" i="4" s="1"/>
  <c r="Q5" i="4" s="1"/>
  <c r="S5" i="4" s="1"/>
  <c r="R4" i="4" a="1"/>
  <c r="R4" i="4" s="1"/>
  <c r="Q4" i="4" s="1"/>
  <c r="S4" i="4" s="1"/>
  <c r="T5" i="4" l="1"/>
  <c r="T4" i="4"/>
</calcChain>
</file>

<file path=xl/sharedStrings.xml><?xml version="1.0" encoding="utf-8"?>
<sst xmlns="http://schemas.openxmlformats.org/spreadsheetml/2006/main" count="87" uniqueCount="82">
  <si>
    <r>
      <rPr>
        <b/>
        <sz val="16"/>
        <rFont val="Calibri"/>
        <family val="2"/>
        <scheme val="minor"/>
      </rPr>
      <t>PASTE SPECIAL</t>
    </r>
    <r>
      <rPr>
        <b/>
        <sz val="16"/>
        <color rgb="FFFF0000"/>
        <rFont val="Calibri"/>
        <family val="2"/>
        <scheme val="minor"/>
      </rPr>
      <t xml:space="preserve"> </t>
    </r>
    <r>
      <rPr>
        <b/>
        <sz val="16"/>
        <color theme="3" tint="-0.499984740745262"/>
        <rFont val="Calibri"/>
        <family val="2"/>
        <scheme val="minor"/>
      </rPr>
      <t>VALUE ONLY</t>
    </r>
    <r>
      <rPr>
        <b/>
        <sz val="16"/>
        <color rgb="FFFF0000"/>
        <rFont val="Calibri"/>
        <family val="2"/>
        <scheme val="minor"/>
      </rPr>
      <t xml:space="preserve"> DATA HERE - FROM ROW 4</t>
    </r>
  </si>
  <si>
    <t>A</t>
  </si>
  <si>
    <t>C</t>
  </si>
  <si>
    <t>Account #</t>
  </si>
  <si>
    <r>
      <t xml:space="preserve">EXPECTEDREIMBURSEMENT </t>
    </r>
    <r>
      <rPr>
        <b/>
        <sz val="11"/>
        <color rgb="FFFF0000"/>
        <rFont val="Calibri"/>
        <family val="2"/>
        <scheme val="minor"/>
      </rPr>
      <t>(Pricing)</t>
    </r>
  </si>
  <si>
    <r>
      <t xml:space="preserve">RU_ALLOWED </t>
    </r>
    <r>
      <rPr>
        <b/>
        <sz val="11"/>
        <color rgb="FFFF0000"/>
        <rFont val="Calibri"/>
        <family val="2"/>
        <scheme val="minor"/>
      </rPr>
      <t>(Payer Allowed)</t>
    </r>
  </si>
  <si>
    <t>STATUS</t>
  </si>
  <si>
    <t>A-C</t>
  </si>
  <si>
    <t>A_C</t>
  </si>
  <si>
    <t>SL #</t>
  </si>
  <si>
    <t>RBX=0; PAYER ALLOWED (NOT PRICED)</t>
  </si>
  <si>
    <t>RBX=0, PAYER NOT ALLOWED (NOT PRICED)</t>
  </si>
  <si>
    <t>RBX&lt;&gt;PAYER</t>
  </si>
  <si>
    <t>RBX=PAYER {MINOR DIFF}</t>
  </si>
  <si>
    <t>RBX&lt;&gt;0; PAYER NOT ALLOWED</t>
  </si>
  <si>
    <t>RBX=PAYER</t>
  </si>
  <si>
    <t>Review #</t>
  </si>
  <si>
    <t>Review</t>
  </si>
  <si>
    <t>Review With Number</t>
  </si>
  <si>
    <t>STATUS INDICATOR (Corrected)</t>
  </si>
  <si>
    <t>RBX PRCING - PAYER ALLOWED (RUB)</t>
  </si>
  <si>
    <t/>
  </si>
  <si>
    <r>
      <t xml:space="preserve">PERIOD INSURANCE PAYMENT </t>
    </r>
    <r>
      <rPr>
        <b/>
        <sz val="11"/>
        <color rgb="FFFF0000"/>
        <rFont val="Calibri"/>
        <family val="2"/>
        <scheme val="minor"/>
      </rPr>
      <t>(Insurance Payment)</t>
    </r>
  </si>
  <si>
    <t>B</t>
  </si>
  <si>
    <t>Source of Data</t>
  </si>
  <si>
    <t>Key points based on Test Analysis</t>
  </si>
  <si>
    <t>Expected Reimbursement</t>
  </si>
  <si>
    <t>PROD/QA</t>
  </si>
  <si>
    <t>False Status (Pricing Change) Reason</t>
  </si>
  <si>
    <t>RU_Allowed</t>
  </si>
  <si>
    <t>$0 or NOT PRICED Reason (If Any) -</t>
  </si>
  <si>
    <t>Variance</t>
  </si>
  <si>
    <t>CALCULATION</t>
  </si>
  <si>
    <t>Accounts that moved from CORRECTLY PAID to Variance  Reason (If any) -</t>
  </si>
  <si>
    <t>Test Pricing</t>
  </si>
  <si>
    <t xml:space="preserve">Changes Made     </t>
  </si>
  <si>
    <t>Test Variance</t>
  </si>
  <si>
    <t>Observations Found (If any)</t>
  </si>
  <si>
    <t>Date of Service Range</t>
  </si>
  <si>
    <t>yyyy-mm-dd to yyyy-mm-dd</t>
  </si>
  <si>
    <t>Analysis Summary</t>
  </si>
  <si>
    <t>1)</t>
  </si>
  <si>
    <t>Patient Type</t>
  </si>
  <si>
    <t>IP/OP/ALL</t>
  </si>
  <si>
    <t>Contract Name</t>
  </si>
  <si>
    <t>2)</t>
  </si>
  <si>
    <t>Test contract</t>
  </si>
  <si>
    <t>Fee Schedules/DRG Tables/Factors etc</t>
  </si>
  <si>
    <t>QA/PROD/NA</t>
  </si>
  <si>
    <t>Step - 1</t>
  </si>
  <si>
    <t>Step - 2</t>
  </si>
  <si>
    <t>Step - 3</t>
  </si>
  <si>
    <t xml:space="preserve">After this in few seconds new Open Window will appear . Now please select Subaccount File from the location where you have saved and click Open button </t>
  </si>
  <si>
    <t>Step - 4</t>
  </si>
  <si>
    <t>Again after few seconds Open windown will appear. This Time Select test Pricing file (Claims file) which you have downloaded after test Pricing with test Contract and c;lieck Open</t>
  </si>
  <si>
    <t>After few saeconds Macro will stop and you will be having your test Analysis File with the name you have saved at Step -2</t>
  </si>
  <si>
    <t>When you Run Macro you will get Save window . When this pop up appears in File Name Please enter Test Analysis File name and press Save button</t>
  </si>
  <si>
    <t>Please rename the Sheet names as Analysis Pivot and Subaccount_Data. And save your file in your respective folder</t>
  </si>
  <si>
    <t>Do not open any other Excel file in between</t>
  </si>
  <si>
    <t>Please do not click on any of the sheets when Macro is running</t>
  </si>
  <si>
    <t>Please do check your file when test Analysis fiel is prepared.</t>
  </si>
  <si>
    <t>Do check all columns , the formatting and column nos are at same plac eas in test format file</t>
  </si>
  <si>
    <t>Do check Variance columns properly ( Variance calculates is correct or not)</t>
  </si>
  <si>
    <t>Please download Subaccoutn file from Search Subaccount option in Search menu</t>
  </si>
  <si>
    <t>Do not change the file or move any column before running Macro. Pelase keep the file as it is as downloaded form application</t>
  </si>
  <si>
    <t xml:space="preserve">Pelase share your reviews and feedback . Any changes required do suggest . </t>
  </si>
  <si>
    <t xml:space="preserve">Steps to run Test Format Macro </t>
  </si>
  <si>
    <t xml:space="preserve">Few precautions while running Macro     </t>
  </si>
  <si>
    <t xml:space="preserve"> </t>
  </si>
  <si>
    <r>
      <t>A</t>
    </r>
    <r>
      <rPr>
        <sz val="18"/>
        <color rgb="FFFF0000"/>
        <rFont val="Wingdings 2"/>
        <family val="1"/>
        <charset val="2"/>
      </rPr>
      <t>M</t>
    </r>
  </si>
  <si>
    <t>J</t>
  </si>
  <si>
    <t>L</t>
  </si>
  <si>
    <r>
      <rPr>
        <b/>
        <sz val="11"/>
        <color rgb="FFFF0000"/>
        <rFont val="Calibri"/>
        <family val="2"/>
        <scheme val="minor"/>
      </rPr>
      <t xml:space="preserve">  </t>
    </r>
    <r>
      <rPr>
        <b/>
        <sz val="11"/>
        <color rgb="FFFF0000"/>
        <rFont val="Wide Latin"/>
        <family val="1"/>
      </rPr>
      <t>!</t>
    </r>
    <r>
      <rPr>
        <b/>
        <sz val="11"/>
        <color theme="1"/>
        <rFont val="Calibri"/>
        <family val="2"/>
        <scheme val="minor"/>
      </rPr>
      <t xml:space="preserve">  1 </t>
    </r>
  </si>
  <si>
    <r>
      <rPr>
        <b/>
        <sz val="11"/>
        <color rgb="FFFF0000"/>
        <rFont val="Calibri"/>
        <family val="2"/>
        <scheme val="minor"/>
      </rPr>
      <t xml:space="preserve">  </t>
    </r>
    <r>
      <rPr>
        <b/>
        <sz val="11"/>
        <color rgb="FFFF0000"/>
        <rFont val="Wide Latin"/>
        <family val="1"/>
      </rPr>
      <t>!</t>
    </r>
    <r>
      <rPr>
        <b/>
        <sz val="11"/>
        <color theme="1"/>
        <rFont val="Calibri"/>
        <family val="2"/>
        <scheme val="minor"/>
      </rPr>
      <t xml:space="preserve">  2</t>
    </r>
    <r>
      <rPr>
        <sz val="11"/>
        <color theme="1"/>
        <rFont val="Calibri"/>
        <family val="2"/>
        <scheme val="minor"/>
      </rPr>
      <t/>
    </r>
  </si>
  <si>
    <r>
      <rPr>
        <b/>
        <sz val="11"/>
        <color rgb="FFFF0000"/>
        <rFont val="Calibri"/>
        <family val="2"/>
        <scheme val="minor"/>
      </rPr>
      <t xml:space="preserve">  </t>
    </r>
    <r>
      <rPr>
        <b/>
        <sz val="11"/>
        <color rgb="FFFF0000"/>
        <rFont val="Wide Latin"/>
        <family val="1"/>
      </rPr>
      <t>!</t>
    </r>
    <r>
      <rPr>
        <b/>
        <sz val="11"/>
        <color theme="1"/>
        <rFont val="Calibri"/>
        <family val="2"/>
        <scheme val="minor"/>
      </rPr>
      <t xml:space="preserve">  3</t>
    </r>
    <r>
      <rPr>
        <sz val="11"/>
        <color theme="1"/>
        <rFont val="Calibri"/>
        <family val="2"/>
        <scheme val="minor"/>
      </rPr>
      <t/>
    </r>
  </si>
  <si>
    <r>
      <rPr>
        <b/>
        <sz val="11"/>
        <color rgb="FFFF0000"/>
        <rFont val="Calibri"/>
        <family val="2"/>
        <scheme val="minor"/>
      </rPr>
      <t xml:space="preserve">  </t>
    </r>
    <r>
      <rPr>
        <b/>
        <sz val="11"/>
        <color rgb="FFFF0000"/>
        <rFont val="Wide Latin"/>
        <family val="1"/>
      </rPr>
      <t>!</t>
    </r>
    <r>
      <rPr>
        <b/>
        <sz val="11"/>
        <color theme="1"/>
        <rFont val="Calibri"/>
        <family val="2"/>
        <scheme val="minor"/>
      </rPr>
      <t xml:space="preserve">  4</t>
    </r>
    <r>
      <rPr>
        <sz val="11"/>
        <color theme="1"/>
        <rFont val="Calibri"/>
        <family val="2"/>
        <scheme val="minor"/>
      </rPr>
      <t/>
    </r>
  </si>
  <si>
    <r>
      <rPr>
        <b/>
        <sz val="11"/>
        <color rgb="FFFF0000"/>
        <rFont val="Calibri"/>
        <family val="2"/>
        <scheme val="minor"/>
      </rPr>
      <t xml:space="preserve">  </t>
    </r>
    <r>
      <rPr>
        <b/>
        <sz val="11"/>
        <color rgb="FFFF0000"/>
        <rFont val="Wide Latin"/>
        <family val="1"/>
      </rPr>
      <t>!</t>
    </r>
    <r>
      <rPr>
        <b/>
        <sz val="11"/>
        <color theme="1"/>
        <rFont val="Calibri"/>
        <family val="2"/>
        <scheme val="minor"/>
      </rPr>
      <t xml:space="preserve">  5</t>
    </r>
    <r>
      <rPr>
        <sz val="11"/>
        <color theme="1"/>
        <rFont val="Calibri"/>
        <family val="2"/>
        <scheme val="minor"/>
      </rPr>
      <t/>
    </r>
  </si>
  <si>
    <r>
      <rPr>
        <b/>
        <sz val="11"/>
        <color rgb="FFFF0000"/>
        <rFont val="Calibri"/>
        <family val="2"/>
        <scheme val="minor"/>
      </rPr>
      <t xml:space="preserve">  </t>
    </r>
    <r>
      <rPr>
        <b/>
        <sz val="11"/>
        <color rgb="FFFF0000"/>
        <rFont val="Wide Latin"/>
        <family val="1"/>
      </rPr>
      <t>!</t>
    </r>
    <r>
      <rPr>
        <b/>
        <sz val="11"/>
        <color theme="1"/>
        <rFont val="Calibri"/>
        <family val="2"/>
        <scheme val="minor"/>
      </rPr>
      <t xml:space="preserve">  6</t>
    </r>
    <r>
      <rPr>
        <sz val="11"/>
        <color theme="1"/>
        <rFont val="Calibri"/>
        <family val="2"/>
        <scheme val="minor"/>
      </rPr>
      <t/>
    </r>
  </si>
  <si>
    <r>
      <rPr>
        <b/>
        <sz val="11"/>
        <color rgb="FFFF0000"/>
        <rFont val="Calibri"/>
        <family val="2"/>
        <scheme val="minor"/>
      </rPr>
      <t xml:space="preserve">  </t>
    </r>
    <r>
      <rPr>
        <b/>
        <sz val="11"/>
        <color rgb="FFFF0000"/>
        <rFont val="Wide Latin"/>
        <family val="1"/>
      </rPr>
      <t>!</t>
    </r>
    <r>
      <rPr>
        <b/>
        <sz val="11"/>
        <color theme="1"/>
        <rFont val="Calibri"/>
        <family val="2"/>
        <scheme val="minor"/>
      </rPr>
      <t xml:space="preserve">  7</t>
    </r>
    <r>
      <rPr>
        <sz val="11"/>
        <color theme="1"/>
        <rFont val="Calibri"/>
        <family val="2"/>
        <scheme val="minor"/>
      </rPr>
      <t/>
    </r>
  </si>
  <si>
    <t xml:space="preserve">Please Click on "Run Macro" Button in other Tab- "Analysis Pivot" </t>
  </si>
  <si>
    <t>Press Button - "Run Macro" on Next tab - "Analysis_Pivot"</t>
  </si>
  <si>
    <t>Please Click on "Run Macro" Button in other tab - "Analysis Pivot"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</si>
</sst>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3" tint="-0.499984740745262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8"/>
      <color rgb="FFFF0000"/>
      <name val="Wingdings"/>
      <charset val="2"/>
    </font>
    <font>
      <sz val="18"/>
      <color rgb="FFFF0000"/>
      <name val="Wingdings 2"/>
      <family val="1"/>
      <charset val="2"/>
    </font>
    <font>
      <b/>
      <sz val="16"/>
      <color rgb="FFFF0000"/>
      <name val="Wingdings"/>
      <charset val="2"/>
    </font>
    <font>
      <sz val="20"/>
      <color rgb="FF00B050"/>
      <name val="Wingdings 2"/>
      <family val="1"/>
      <charset val="2"/>
    </font>
    <font>
      <sz val="11"/>
      <color theme="1"/>
      <name val="Arial Rounded MT Bold"/>
      <family val="2"/>
    </font>
    <font>
      <b/>
      <sz val="11"/>
      <color rgb="FFFF0000"/>
      <name val="Wide Latin"/>
      <family val="1"/>
    </font>
    <font>
      <sz val="1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0" borderId="7" xfId="0" applyFill="1" applyBorder="1" applyAlignment="1">
      <alignment horizontal="center" vertical="center" wrapText="1"/>
    </xf>
    <xf numFmtId="0" fontId="0" fillId="11" borderId="10" xfId="0" applyFill="1" applyBorder="1" applyAlignment="1">
      <alignment horizontal="center" vertical="center" wrapText="1"/>
    </xf>
    <xf numFmtId="0" fontId="0" fillId="12" borderId="7" xfId="0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 wrapText="1"/>
    </xf>
    <xf numFmtId="0" fontId="0" fillId="13" borderId="7" xfId="0" applyFill="1" applyBorder="1" applyAlignment="1">
      <alignment horizontal="center" vertical="center" wrapText="1"/>
    </xf>
    <xf numFmtId="0" fontId="0" fillId="13" borderId="9" xfId="0" applyFill="1" applyBorder="1" applyAlignment="1">
      <alignment horizontal="center" vertical="center" wrapText="1"/>
    </xf>
    <xf numFmtId="0" fontId="0" fillId="13" borderId="10" xfId="0" applyFill="1" applyBorder="1" applyAlignment="1">
      <alignment horizontal="center" vertical="center" wrapText="1"/>
    </xf>
    <xf numFmtId="0" fontId="1" fillId="15" borderId="0" xfId="0" applyFont="1" applyFill="1" applyAlignment="1">
      <alignment horizontal="center" vertical="center" wrapText="1"/>
    </xf>
    <xf numFmtId="0" fontId="0" fillId="16" borderId="7" xfId="0" applyFill="1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3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 wrapText="1"/>
    </xf>
    <xf numFmtId="0" fontId="0" fillId="17" borderId="13" xfId="0" applyFill="1" applyBorder="1" applyAlignment="1">
      <alignment horizontal="center" vertical="center" wrapText="1"/>
    </xf>
    <xf numFmtId="0" fontId="0" fillId="17" borderId="12" xfId="0" applyFill="1" applyBorder="1" applyAlignment="1">
      <alignment horizontal="center" vertical="center" wrapText="1"/>
    </xf>
    <xf numFmtId="0" fontId="0" fillId="17" borderId="14" xfId="0" applyFill="1" applyBorder="1" applyAlignment="1">
      <alignment horizontal="center" vertical="center" wrapText="1"/>
    </xf>
    <xf numFmtId="0" fontId="2" fillId="18" borderId="15" xfId="0" applyFont="1" applyFill="1" applyBorder="1" applyAlignment="1">
      <alignment horizontal="center" vertical="center" wrapText="1"/>
    </xf>
    <xf numFmtId="0" fontId="2" fillId="18" borderId="15" xfId="0" applyFont="1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2" fillId="19" borderId="20" xfId="0" applyFont="1" applyFill="1" applyBorder="1" applyAlignment="1">
      <alignment horizontal="center" vertical="center" wrapText="1"/>
    </xf>
    <xf numFmtId="0" fontId="0" fillId="0" borderId="18" xfId="0" applyBorder="1"/>
    <xf numFmtId="0" fontId="8" fillId="0" borderId="18" xfId="0" applyFont="1" applyBorder="1"/>
    <xf numFmtId="0" fontId="8" fillId="0" borderId="18" xfId="0" applyFont="1" applyBorder="1" applyAlignment="1">
      <alignment horizontal="left"/>
    </xf>
    <xf numFmtId="0" fontId="9" fillId="0" borderId="23" xfId="0" applyFont="1" applyBorder="1" applyAlignment="1"/>
    <xf numFmtId="0" fontId="9" fillId="0" borderId="0" xfId="0" applyFont="1" applyBorder="1" applyAlignment="1"/>
    <xf numFmtId="0" fontId="9" fillId="0" borderId="21" xfId="0" applyFont="1" applyBorder="1" applyAlignment="1"/>
    <xf numFmtId="0" fontId="9" fillId="0" borderId="19" xfId="0" applyFont="1" applyBorder="1" applyAlignment="1"/>
    <xf numFmtId="0" fontId="9" fillId="0" borderId="22" xfId="0" applyFont="1" applyBorder="1" applyAlignment="1"/>
    <xf numFmtId="0" fontId="10" fillId="0" borderId="0" xfId="0" applyFont="1"/>
    <xf numFmtId="0" fontId="9" fillId="0" borderId="18" xfId="0" applyFont="1" applyBorder="1" applyAlignment="1">
      <alignment horizontal="center"/>
    </xf>
    <xf numFmtId="0" fontId="9" fillId="0" borderId="18" xfId="0" applyFont="1" applyBorder="1" applyAlignment="1"/>
    <xf numFmtId="0" fontId="11" fillId="20" borderId="0" xfId="0" applyFont="1" applyFill="1"/>
    <xf numFmtId="0" fontId="13" fillId="11" borderId="3" xfId="0" applyFont="1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4" fillId="0" borderId="3" xfId="0" applyFont="1" applyBorder="1"/>
    <xf numFmtId="0" fontId="2" fillId="0" borderId="15" xfId="0" applyFont="1" applyBorder="1"/>
    <xf numFmtId="0" fontId="2" fillId="0" borderId="20" xfId="0" applyFont="1" applyBorder="1"/>
    <xf numFmtId="0" fontId="2" fillId="0" borderId="32" xfId="0" applyFont="1" applyBorder="1"/>
    <xf numFmtId="0" fontId="2" fillId="0" borderId="15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2" fillId="2" borderId="31" xfId="0" applyFont="1" applyFill="1" applyBorder="1" applyAlignment="1">
      <alignment horizontal="center"/>
    </xf>
    <xf numFmtId="0" fontId="2" fillId="2" borderId="24" xfId="0" applyFont="1" applyFill="1" applyBorder="1" applyAlignment="1">
      <alignment horizontal="center"/>
    </xf>
    <xf numFmtId="0" fontId="2" fillId="2" borderId="25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right" vertical="center"/>
    </xf>
    <xf numFmtId="0" fontId="9" fillId="0" borderId="18" xfId="0" applyFont="1" applyBorder="1" applyAlignment="1">
      <alignment horizontal="left" wrapText="1"/>
    </xf>
    <xf numFmtId="0" fontId="9" fillId="0" borderId="18" xfId="0" applyFont="1" applyBorder="1" applyAlignment="1">
      <alignment horizontal="center"/>
    </xf>
    <xf numFmtId="0" fontId="8" fillId="0" borderId="21" xfId="0" applyFont="1" applyBorder="1" applyAlignment="1">
      <alignment horizontal="left"/>
    </xf>
    <xf numFmtId="0" fontId="8" fillId="0" borderId="19" xfId="0" applyFont="1" applyBorder="1" applyAlignment="1">
      <alignment horizontal="left"/>
    </xf>
    <xf numFmtId="0" fontId="8" fillId="0" borderId="22" xfId="0" applyFont="1" applyBorder="1" applyAlignment="1">
      <alignment horizontal="left"/>
    </xf>
    <xf numFmtId="0" fontId="9" fillId="0" borderId="21" xfId="0" applyFont="1" applyBorder="1" applyAlignment="1">
      <alignment horizontal="left"/>
    </xf>
    <xf numFmtId="0" fontId="9" fillId="0" borderId="19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8" fillId="0" borderId="18" xfId="0" applyFont="1" applyBorder="1" applyAlignment="1">
      <alignment horizontal="right" vertical="center"/>
    </xf>
    <xf numFmtId="0" fontId="2" fillId="2" borderId="18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2" borderId="33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1" fillId="14" borderId="8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7" fillId="2" borderId="26" xfId="0" applyFont="1" applyFill="1" applyBorder="1" applyAlignment="1">
      <alignment horizontal="center" vertical="center" wrapText="1"/>
    </xf>
    <xf numFmtId="0" fontId="0" fillId="0" borderId="26" xfId="0" applyFont="1" applyFill="1" applyBorder="1"/>
    <xf numFmtId="0" fontId="0" fillId="0" borderId="27" xfId="0" applyFont="1" applyFill="1" applyBorder="1"/>
    <xf numFmtId="0" fontId="17" fillId="2" borderId="27" xfId="0" applyFont="1" applyFill="1" applyBorder="1" applyAlignment="1">
      <alignment horizontal="center" vertical="center" wrapText="1"/>
    </xf>
    <xf numFmtId="0" fontId="17" fillId="2" borderId="28" xfId="0" applyFont="1" applyFill="1" applyBorder="1" applyAlignment="1">
      <alignment horizontal="center" vertical="center" wrapText="1"/>
    </xf>
    <xf numFmtId="0" fontId="17" fillId="2" borderId="29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17" fillId="2" borderId="30" xfId="0" applyFont="1" applyFill="1" applyBorder="1" applyAlignment="1">
      <alignment horizontal="center" vertical="center" wrapText="1"/>
    </xf>
    <xf numFmtId="0" fontId="17" fillId="2" borderId="4" xfId="0" applyFont="1" applyFill="1" applyBorder="1" applyAlignment="1">
      <alignment horizontal="center" vertical="center" wrapText="1"/>
    </xf>
    <xf numFmtId="0" fontId="17" fillId="2" borderId="5" xfId="0" applyFont="1" applyFill="1" applyBorder="1" applyAlignment="1">
      <alignment horizontal="center" vertical="center" wrapText="1"/>
    </xf>
    <xf numFmtId="0" fontId="17" fillId="2" borderId="6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5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304799</xdr:colOff>
      <xdr:row>0</xdr:row>
      <xdr:rowOff>95250</xdr:rowOff>
    </xdr:from>
    <xdr:to>
      <xdr:col>18</xdr:col>
      <xdr:colOff>581024</xdr:colOff>
      <xdr:row>0</xdr:row>
      <xdr:rowOff>542925</xdr:rowOff>
    </xdr:to>
    <xdr:sp macro="[0]!Button1_Click" textlink="">
      <xdr:nvSpPr>
        <xdr:cNvPr id="3" name="Rounded Rectangle 2"/>
        <xdr:cNvSpPr/>
      </xdr:nvSpPr>
      <xdr:spPr>
        <a:xfrm>
          <a:off x="8191499" y="95250"/>
          <a:ext cx="1762125" cy="447675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Forte" panose="03060902040502070203" pitchFamily="66" charset="0"/>
            </a:rPr>
            <a:t>RUN MACRO</a:t>
          </a:r>
        </a:p>
      </xdr:txBody>
    </xdr:sp>
    <xdr:clientData/>
  </xdr:twoCellAnchor>
  <xdr:twoCellAnchor>
    <xdr:from>
      <xdr:col>18</xdr:col>
      <xdr:colOff>714374</xdr:colOff>
      <xdr:row>0</xdr:row>
      <xdr:rowOff>85725</xdr:rowOff>
    </xdr:from>
    <xdr:to>
      <xdr:col>19</xdr:col>
      <xdr:colOff>1066800</xdr:colOff>
      <xdr:row>0</xdr:row>
      <xdr:rowOff>523875</xdr:rowOff>
    </xdr:to>
    <xdr:sp macro="" textlink="">
      <xdr:nvSpPr>
        <xdr:cNvPr id="4" name="Rounded Rectangle 3"/>
        <xdr:cNvSpPr/>
      </xdr:nvSpPr>
      <xdr:spPr>
        <a:xfrm>
          <a:off x="10086974" y="85725"/>
          <a:ext cx="1847851" cy="438150"/>
        </a:xfrm>
        <a:prstGeom prst="roundRect">
          <a:avLst/>
        </a:prstGeom>
        <a:blipFill>
          <a:blip xmlns:r="http://schemas.openxmlformats.org/officeDocument/2006/relationships" r:embed="rId2"/>
          <a:tile tx="0" ty="0" sx="100000" sy="100000" flip="none" algn="tl"/>
        </a:blip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  <a:sym typeface="Wingdings 2" panose="05020102010507070707" pitchFamily="18" charset="2"/>
            </a:rPr>
            <a:t> </a:t>
          </a:r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Please Click here 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B2:T19"/>
  <sheetViews>
    <sheetView showGridLines="0" tabSelected="1" workbookViewId="0">
      <selection activeCell="N19" sqref="N19"/>
    </sheetView>
  </sheetViews>
  <sheetFormatPr defaultRowHeight="15" x14ac:dyDescent="0.25"/>
  <cols>
    <col min="1" max="1" width="5.5703125" customWidth="1"/>
    <col min="4" max="4" width="9.7109375" customWidth="1"/>
    <col min="6" max="6" width="6.5703125" customWidth="1"/>
    <col min="10" max="10" width="6.140625" customWidth="1"/>
    <col min="16" max="16" width="8" customWidth="1"/>
    <col min="17" max="17" width="11.85546875" customWidth="1"/>
    <col min="19" max="19" width="6.42578125" customWidth="1"/>
    <col min="20" max="20" width="9.140625" customWidth="1"/>
  </cols>
  <sheetData>
    <row r="2" spans="2:20" ht="15.75" thickBot="1" x14ac:dyDescent="0.3">
      <c r="B2" s="70" t="s">
        <v>66</v>
      </c>
      <c r="C2" s="71"/>
      <c r="D2" s="72"/>
    </row>
    <row r="3" spans="2:20" x14ac:dyDescent="0.25">
      <c r="B3" s="65" t="s">
        <v>49</v>
      </c>
      <c r="C3" s="103" t="s">
        <v>80</v>
      </c>
      <c r="D3" s="104"/>
      <c r="E3" s="104"/>
      <c r="F3" s="104"/>
      <c r="G3" s="104"/>
      <c r="H3" s="104"/>
      <c r="I3" s="104"/>
      <c r="J3" s="56"/>
      <c r="K3" s="56"/>
      <c r="L3" s="56"/>
      <c r="M3" s="56"/>
      <c r="N3" s="56"/>
      <c r="O3" s="56"/>
      <c r="P3" s="56"/>
      <c r="Q3" s="56"/>
      <c r="R3" s="56"/>
      <c r="S3" s="56"/>
      <c r="T3" s="57"/>
    </row>
    <row r="4" spans="2:20" x14ac:dyDescent="0.25">
      <c r="B4" s="66" t="s">
        <v>50</v>
      </c>
      <c r="C4" s="58" t="s">
        <v>56</v>
      </c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60"/>
    </row>
    <row r="5" spans="2:20" x14ac:dyDescent="0.25">
      <c r="B5" s="66" t="s">
        <v>51</v>
      </c>
      <c r="C5" s="58" t="s">
        <v>52</v>
      </c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60"/>
    </row>
    <row r="6" spans="2:20" x14ac:dyDescent="0.25">
      <c r="B6" s="66" t="s">
        <v>53</v>
      </c>
      <c r="C6" s="58" t="s">
        <v>54</v>
      </c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60"/>
    </row>
    <row r="7" spans="2:20" ht="15.75" thickBot="1" x14ac:dyDescent="0.3">
      <c r="B7" s="67" t="s">
        <v>53</v>
      </c>
      <c r="C7" s="58" t="s">
        <v>55</v>
      </c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60"/>
    </row>
    <row r="8" spans="2:20" ht="15.75" thickBot="1" x14ac:dyDescent="0.3">
      <c r="C8" s="61" t="s">
        <v>57</v>
      </c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3"/>
    </row>
    <row r="10" spans="2:20" ht="23.25" thickBot="1" x14ac:dyDescent="0.35">
      <c r="B10" s="70" t="s">
        <v>67</v>
      </c>
      <c r="C10" s="71"/>
      <c r="D10" s="71"/>
      <c r="E10" s="72"/>
      <c r="F10" s="53" t="s">
        <v>69</v>
      </c>
    </row>
    <row r="11" spans="2:20" ht="15.75" customHeight="1" thickBot="1" x14ac:dyDescent="0.3">
      <c r="B11" s="68" t="s">
        <v>72</v>
      </c>
      <c r="C11" s="55" t="s">
        <v>58</v>
      </c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7"/>
      <c r="Q11" s="113" t="s">
        <v>81</v>
      </c>
      <c r="R11" s="113"/>
      <c r="S11" s="113"/>
      <c r="T11" s="113"/>
    </row>
    <row r="12" spans="2:20" ht="15.75" thickBot="1" x14ac:dyDescent="0.3">
      <c r="B12" s="68" t="s">
        <v>73</v>
      </c>
      <c r="C12" s="58" t="s">
        <v>59</v>
      </c>
      <c r="D12" s="59"/>
      <c r="E12" s="59"/>
      <c r="F12" s="59"/>
      <c r="G12" s="59"/>
      <c r="H12" s="59"/>
      <c r="I12" s="59"/>
      <c r="J12" s="59" t="s">
        <v>68</v>
      </c>
      <c r="K12" s="59"/>
      <c r="L12" s="59"/>
      <c r="M12" s="59"/>
      <c r="N12" s="59"/>
      <c r="O12" s="60"/>
      <c r="Q12" s="113"/>
      <c r="R12" s="113"/>
      <c r="S12" s="113"/>
      <c r="T12" s="113"/>
    </row>
    <row r="13" spans="2:20" ht="15.75" thickBot="1" x14ac:dyDescent="0.3">
      <c r="B13" s="68" t="s">
        <v>74</v>
      </c>
      <c r="C13" s="58" t="s">
        <v>60</v>
      </c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60"/>
      <c r="Q13" s="114"/>
      <c r="R13" s="114"/>
      <c r="S13" s="114"/>
      <c r="T13" s="114"/>
    </row>
    <row r="14" spans="2:20" ht="15.75" customHeight="1" thickBot="1" x14ac:dyDescent="0.3">
      <c r="B14" s="68" t="s">
        <v>75</v>
      </c>
      <c r="C14" s="58" t="s">
        <v>61</v>
      </c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60"/>
      <c r="Q14" s="102" t="s">
        <v>79</v>
      </c>
      <c r="R14" s="105"/>
      <c r="S14" s="105"/>
      <c r="T14" s="106"/>
    </row>
    <row r="15" spans="2:20" ht="15.75" thickBot="1" x14ac:dyDescent="0.3">
      <c r="B15" s="68" t="s">
        <v>76</v>
      </c>
      <c r="C15" s="58" t="s">
        <v>62</v>
      </c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60"/>
      <c r="Q15" s="107"/>
      <c r="R15" s="108"/>
      <c r="S15" s="108"/>
      <c r="T15" s="109"/>
    </row>
    <row r="16" spans="2:20" ht="15.75" thickBot="1" x14ac:dyDescent="0.3">
      <c r="B16" s="68" t="s">
        <v>77</v>
      </c>
      <c r="C16" s="58" t="s">
        <v>63</v>
      </c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60"/>
      <c r="Q16" s="110"/>
      <c r="R16" s="111"/>
      <c r="S16" s="111"/>
      <c r="T16" s="112"/>
    </row>
    <row r="17" spans="2:15" ht="15.75" thickBot="1" x14ac:dyDescent="0.3">
      <c r="B17" s="68" t="s">
        <v>78</v>
      </c>
      <c r="C17" s="61" t="s">
        <v>64</v>
      </c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3"/>
    </row>
    <row r="18" spans="2:15" ht="15.75" thickBot="1" x14ac:dyDescent="0.3"/>
    <row r="19" spans="2:15" ht="20.25" thickBot="1" x14ac:dyDescent="0.3">
      <c r="B19" s="73" t="s">
        <v>65</v>
      </c>
      <c r="C19" s="74"/>
      <c r="D19" s="74"/>
      <c r="E19" s="74"/>
      <c r="F19" s="74"/>
      <c r="G19" s="74"/>
      <c r="H19" s="74"/>
      <c r="I19" s="74"/>
      <c r="J19" s="54" t="s">
        <v>70</v>
      </c>
    </row>
  </sheetData>
  <mergeCells count="5">
    <mergeCell ref="B10:E10"/>
    <mergeCell ref="B2:D2"/>
    <mergeCell ref="B19:I19"/>
    <mergeCell ref="Q14:T16"/>
    <mergeCell ref="Q11:T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-0.249977111117893"/>
  </sheetPr>
  <dimension ref="A1:U5"/>
  <sheetViews>
    <sheetView showGridLines="0" zoomScaleNormal="100" workbookViewId="0">
      <selection activeCell="I1" sqref="I1"/>
    </sheetView>
  </sheetViews>
  <sheetFormatPr defaultRowHeight="15" outlineLevelCol="1" x14ac:dyDescent="0.25"/>
  <cols>
    <col min="1" max="1" width="16.85546875" style="1" customWidth="1"/>
    <col min="2" max="2" width="14.7109375" style="1" customWidth="1"/>
    <col min="3" max="3" width="17.5703125" style="1" customWidth="1"/>
    <col min="4" max="4" width="14.28515625" style="1" customWidth="1"/>
    <col min="5" max="5" width="20.85546875" style="1" customWidth="1"/>
    <col min="6" max="6" width="8.140625" style="1" customWidth="1" outlineLevel="1"/>
    <col min="7" max="7" width="8.42578125" style="1" customWidth="1" outlineLevel="1"/>
    <col min="8" max="8" width="2.5703125" style="1" customWidth="1"/>
    <col min="9" max="9" width="5.140625" style="1" bestFit="1" customWidth="1"/>
    <col min="10" max="10" width="9.7109375" style="1" bestFit="1" customWidth="1"/>
    <col min="11" max="11" width="20.140625" style="13" hidden="1" customWidth="1" outlineLevel="1"/>
    <col min="12" max="12" width="13.85546875" style="13" hidden="1" customWidth="1" outlineLevel="1"/>
    <col min="13" max="13" width="19.28515625" style="13" hidden="1" customWidth="1" outlineLevel="1"/>
    <col min="14" max="14" width="13" style="13" hidden="1" customWidth="1" outlineLevel="1"/>
    <col min="15" max="15" width="15.28515625" style="13" hidden="1" customWidth="1" outlineLevel="1"/>
    <col min="16" max="16" width="11.42578125" style="13" hidden="1" customWidth="1" outlineLevel="1"/>
    <col min="17" max="17" width="9.28515625" style="13" bestFit="1" customWidth="1" collapsed="1"/>
    <col min="18" max="18" width="13" style="13" customWidth="1"/>
    <col min="19" max="19" width="22.42578125" style="13" bestFit="1" customWidth="1"/>
    <col min="20" max="20" width="24.5703125" style="1" bestFit="1" customWidth="1"/>
    <col min="21" max="21" width="9.5703125" style="1" bestFit="1" customWidth="1"/>
    <col min="22" max="16384" width="9.140625" style="1"/>
  </cols>
  <sheetData>
    <row r="1" spans="1:21" ht="43.5" customHeight="1" thickBot="1" x14ac:dyDescent="0.4">
      <c r="A1" s="75" t="s">
        <v>0</v>
      </c>
      <c r="B1" s="76"/>
      <c r="C1" s="76"/>
      <c r="D1" s="76"/>
      <c r="E1" s="77"/>
      <c r="L1" s="64" t="s">
        <v>71</v>
      </c>
      <c r="M1" s="1"/>
      <c r="N1" s="1"/>
      <c r="O1" s="1"/>
      <c r="P1" s="1"/>
      <c r="Q1" s="100"/>
      <c r="R1" s="100"/>
      <c r="S1" s="101"/>
      <c r="T1" s="101"/>
      <c r="U1" s="69"/>
    </row>
    <row r="2" spans="1:21" ht="15.75" thickBot="1" x14ac:dyDescent="0.3">
      <c r="B2" s="2" t="s">
        <v>1</v>
      </c>
      <c r="C2" s="3" t="s">
        <v>23</v>
      </c>
      <c r="D2" s="3" t="s">
        <v>2</v>
      </c>
      <c r="E2" s="4"/>
      <c r="K2" s="5">
        <v>1</v>
      </c>
      <c r="L2" s="6">
        <v>2</v>
      </c>
      <c r="M2" s="6">
        <v>3</v>
      </c>
      <c r="N2" s="7">
        <v>4</v>
      </c>
      <c r="O2" s="8">
        <v>5</v>
      </c>
      <c r="P2" s="8">
        <v>6</v>
      </c>
      <c r="Q2" s="98"/>
      <c r="R2" s="98"/>
      <c r="S2" s="98"/>
      <c r="T2" s="99"/>
      <c r="U2" s="9"/>
    </row>
    <row r="3" spans="1:21" s="13" customFormat="1" ht="75.75" thickBot="1" x14ac:dyDescent="0.3">
      <c r="A3" s="10" t="s">
        <v>3</v>
      </c>
      <c r="B3" s="11" t="s">
        <v>4</v>
      </c>
      <c r="C3" s="11" t="s">
        <v>22</v>
      </c>
      <c r="D3" s="11" t="s">
        <v>5</v>
      </c>
      <c r="E3" s="12" t="s">
        <v>6</v>
      </c>
      <c r="F3" s="14" t="s">
        <v>7</v>
      </c>
      <c r="G3" s="15" t="s">
        <v>8</v>
      </c>
      <c r="I3" s="16" t="s">
        <v>9</v>
      </c>
      <c r="J3" s="17" t="str">
        <f>A3</f>
        <v>Account #</v>
      </c>
      <c r="K3" s="18" t="s">
        <v>10</v>
      </c>
      <c r="L3" s="19" t="s">
        <v>11</v>
      </c>
      <c r="M3" s="19" t="s">
        <v>12</v>
      </c>
      <c r="N3" s="19" t="s">
        <v>13</v>
      </c>
      <c r="O3" s="19" t="s">
        <v>14</v>
      </c>
      <c r="P3" s="20" t="s">
        <v>15</v>
      </c>
      <c r="Q3" s="95" t="s">
        <v>16</v>
      </c>
      <c r="R3" s="96" t="s">
        <v>17</v>
      </c>
      <c r="S3" s="97" t="s">
        <v>18</v>
      </c>
      <c r="T3" s="21" t="s">
        <v>19</v>
      </c>
      <c r="U3" s="22" t="s">
        <v>20</v>
      </c>
    </row>
    <row r="4" spans="1:21" ht="60.75" thickBot="1" x14ac:dyDescent="0.3">
      <c r="A4" s="42"/>
      <c r="B4" s="42"/>
      <c r="C4" s="42"/>
      <c r="D4" s="42"/>
      <c r="E4" s="42"/>
      <c r="F4" s="24">
        <f>B4-D4</f>
        <v>0</v>
      </c>
      <c r="G4" s="25" t="b">
        <f>(AND(F4&lt;2,F4&gt;-2))</f>
        <v>1</v>
      </c>
      <c r="H4" s="23" t="s">
        <v>21</v>
      </c>
      <c r="I4" s="24">
        <v>1</v>
      </c>
      <c r="J4" s="26">
        <f>A4</f>
        <v>0</v>
      </c>
      <c r="K4" s="27" t="str">
        <f>IF(AND(B4=0,D4&lt;&gt;0),"RBX=0; PAYER ALLOWED (NOT PRICED)","")</f>
        <v/>
      </c>
      <c r="L4" s="28" t="str">
        <f>IF(AND(B4=0,D4=0),"RBX=0, PAYER NOT ALLOWED (NOT PRICED)","")</f>
        <v>RBX=0, PAYER NOT ALLOWED (NOT PRICED)</v>
      </c>
      <c r="M4" s="28" t="str">
        <f>IF(AND(D4&lt;&gt;0,B4&lt;&gt;0,G4=FALSE),"RBX&lt;&gt;PAYER","")</f>
        <v/>
      </c>
      <c r="N4" s="28" t="str">
        <f>IF(AND(F4&lt;&gt;0,D4&lt;&gt;0,B4&lt;&gt;0,G4=TRUE),"RBX=PAYER {MINOR DIFF}","")</f>
        <v/>
      </c>
      <c r="O4" s="28" t="str">
        <f>IF(AND(B4&lt;&gt;0,D4=0),"RBX&lt;&gt;0; PAYER NOT ALLOWED","")</f>
        <v/>
      </c>
      <c r="P4" s="29" t="str">
        <f>IF(AND(D4&lt;&gt;0,F4=0),"RBX=PAYER","")</f>
        <v/>
      </c>
      <c r="Q4" s="27">
        <f>MATCH(R4,$K$3:$P$3,0)</f>
        <v>2</v>
      </c>
      <c r="R4" s="30" t="str">
        <f t="array" ref="R4">IFERROR(INDEX($K4:$P4,MATCH(TRUE,$K4:$P4&lt;&gt;"",0)),"")</f>
        <v>RBX=0, PAYER NOT ALLOWED (NOT PRICED)</v>
      </c>
      <c r="S4" s="31" t="str">
        <f>Q4&amp;" --- "&amp;R4</f>
        <v>2 --- RBX=0, PAYER NOT ALLOWED (NOT PRICED)</v>
      </c>
      <c r="T4" s="32">
        <f>IF(E4&lt;&gt;"CORRECTLY_PAID",IF(AND(G4=TRUE,OR(Q4=4,Q4=6)),"CORRECTLY_PAID",IF(AND(D4&lt;&gt;0,SIGN(F4)=-1,B4&lt;&gt;0,G4=FALSE),"OVER_PAID",IF(AND(D4&lt;&gt;0,SIGN(F4)=1,G4=FALSE),"UNDER_PAID",IF(AND(Q4=1,E4= "NOT_PRICED"),"NOT_PRICED",E4)))),IF(AND(Q4=3,D4&lt;&gt;0,SIGN(F4)=-1,G4=FALSE),"OVER_PAID",IF(AND(G4=TRUE,(AND(F4&lt;2,F4&gt;-2))),"CORRECTLY_PAID","UNDER_PAID")))</f>
        <v>0</v>
      </c>
      <c r="U4" s="33">
        <f>F4</f>
        <v>0</v>
      </c>
    </row>
    <row r="5" spans="1:21" ht="45" x14ac:dyDescent="0.25">
      <c r="A5" s="42"/>
      <c r="B5" s="42"/>
      <c r="C5" s="42"/>
      <c r="D5" s="42"/>
      <c r="E5" s="42"/>
      <c r="F5" s="34">
        <f>B5-D5</f>
        <v>0</v>
      </c>
      <c r="G5" s="35" t="b">
        <f>(AND(F5&lt;2,F5&gt;-2))</f>
        <v>1</v>
      </c>
      <c r="H5" s="23" t="s">
        <v>21</v>
      </c>
      <c r="I5" s="34">
        <f>I4+1</f>
        <v>2</v>
      </c>
      <c r="J5" s="36">
        <f>A5</f>
        <v>0</v>
      </c>
      <c r="K5" s="37" t="str">
        <f>IF(AND(B5=0,D5&lt;&gt;0),"RBX=0; PAYER ALLOWED (NOT PRICED)","")</f>
        <v/>
      </c>
      <c r="L5" s="38" t="str">
        <f>IF(AND(B5=0,D5=0),"RBX=0, PAYER NOT ALLOWED (NOT PRICED)","")</f>
        <v>RBX=0, PAYER NOT ALLOWED (NOT PRICED)</v>
      </c>
      <c r="M5" s="38" t="str">
        <f>IF(AND(D5&lt;&gt;0,B5&lt;&gt;0,G5=FALSE),"RBX&lt;&gt;PAYER","")</f>
        <v/>
      </c>
      <c r="N5" s="38" t="str">
        <f>IF(AND(F5&lt;&gt;0,D5&lt;&gt;0,B5&lt;&gt;0,G5=TRUE),"RBX=PAYER {MINOR DIFF}","")</f>
        <v/>
      </c>
      <c r="O5" s="38" t="str">
        <f>IF(AND(B5&lt;&gt;0,D5=0),"RBX&lt;&gt;0; PAYER NOT ALLOWED","")</f>
        <v/>
      </c>
      <c r="P5" s="39" t="str">
        <f>IF(AND(D5&lt;&gt;0,F5=0),"RBX=PAYER","")</f>
        <v/>
      </c>
      <c r="Q5" s="37">
        <f>MATCH(R5,$K$3:$P$3,0)</f>
        <v>2</v>
      </c>
      <c r="R5" s="40" t="str">
        <f t="array" ref="R5">IFERROR(INDEX($K5:$P5,MATCH(TRUE,$K5:$P5&lt;&gt;"",0)),"")</f>
        <v>RBX=0, PAYER NOT ALLOWED (NOT PRICED)</v>
      </c>
      <c r="S5" s="41" t="str">
        <f>Q5&amp;" --- "&amp;R5</f>
        <v>2 --- RBX=0, PAYER NOT ALLOWED (NOT PRICED)</v>
      </c>
      <c r="T5" s="32">
        <f>IF(E5&lt;&gt;"CORRECTLY_PAID",IF(AND(G5=TRUE,OR(Q5=4,Q5=6)),"CORRECTLY_PAID",IF(AND(D5&lt;&gt;0,SIGN(F5)=-1,B5&lt;&gt;0,G5=FALSE),"OVER_PAID",IF(AND(D5&lt;&gt;0,SIGN(F5)=1,G5=FALSE),"UNDER_PAID",IF(AND(Q5=1,E5= "NOT_PRICED"),"NOT_PRICED",E5)))),IF(AND(Q5=3,D5&lt;&gt;0,SIGN(F5)=-1,G5=FALSE),"OVER_PAID",IF(AND(G5=TRUE,(AND(F5&lt;2,F5&gt;-2))),"CORRECTLY_PAID","UNDER_PAID")))</f>
        <v>0</v>
      </c>
      <c r="U5" s="34">
        <f>F5</f>
        <v>0</v>
      </c>
    </row>
  </sheetData>
  <mergeCells count="1">
    <mergeCell ref="A1:E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M12"/>
  <sheetViews>
    <sheetView workbookViewId="0"/>
  </sheetViews>
  <sheetFormatPr defaultRowHeight="15" x14ac:dyDescent="0.25"/>
  <cols>
    <col min="1" max="1" width="31.42578125" customWidth="1"/>
    <col min="2" max="2" width="11.28515625" customWidth="1"/>
    <col min="3" max="3" width="10.42578125" customWidth="1"/>
    <col min="4" max="4" width="14.5703125" customWidth="1"/>
    <col min="5" max="5" width="13.140625" customWidth="1"/>
    <col min="6" max="6" width="12" customWidth="1"/>
    <col min="7" max="7" width="4.28515625" customWidth="1"/>
    <col min="8" max="8" width="25.140625" customWidth="1"/>
    <col min="9" max="9" width="11.28515625" customWidth="1"/>
    <col min="10" max="10" width="10.42578125" customWidth="1"/>
    <col min="11" max="11" width="12" customWidth="1"/>
    <col min="12" max="12" width="13.140625" customWidth="1"/>
    <col min="13" max="13" width="12.5703125" customWidth="1"/>
  </cols>
  <sheetData>
    <row r="2" spans="1:13" x14ac:dyDescent="0.25">
      <c r="A2" s="88" t="s">
        <v>24</v>
      </c>
      <c r="B2" s="88"/>
      <c r="C2" s="88"/>
      <c r="E2" s="89" t="s">
        <v>25</v>
      </c>
      <c r="F2" s="90"/>
      <c r="G2" s="90"/>
      <c r="H2" s="90"/>
      <c r="I2" s="91"/>
      <c r="J2" s="92"/>
      <c r="K2" s="93"/>
      <c r="L2" s="93"/>
      <c r="M2" s="94"/>
    </row>
    <row r="3" spans="1:13" x14ac:dyDescent="0.25">
      <c r="A3" s="43" t="s">
        <v>26</v>
      </c>
      <c r="B3" s="80" t="s">
        <v>27</v>
      </c>
      <c r="C3" s="80"/>
      <c r="E3" s="81" t="s">
        <v>28</v>
      </c>
      <c r="F3" s="82"/>
      <c r="G3" s="82"/>
      <c r="H3" s="82"/>
      <c r="I3" s="83"/>
      <c r="J3" s="84"/>
      <c r="K3" s="85"/>
      <c r="L3" s="85"/>
      <c r="M3" s="86"/>
    </row>
    <row r="4" spans="1:13" x14ac:dyDescent="0.25">
      <c r="A4" s="43" t="s">
        <v>29</v>
      </c>
      <c r="B4" s="80" t="s">
        <v>27</v>
      </c>
      <c r="C4" s="80"/>
      <c r="E4" s="81" t="s">
        <v>30</v>
      </c>
      <c r="F4" s="82"/>
      <c r="G4" s="82"/>
      <c r="H4" s="82"/>
      <c r="I4" s="83"/>
      <c r="J4" s="84"/>
      <c r="K4" s="85"/>
      <c r="L4" s="85"/>
      <c r="M4" s="86"/>
    </row>
    <row r="5" spans="1:13" x14ac:dyDescent="0.25">
      <c r="A5" s="43" t="s">
        <v>31</v>
      </c>
      <c r="B5" s="80" t="s">
        <v>32</v>
      </c>
      <c r="C5" s="80"/>
      <c r="E5" s="44" t="s">
        <v>33</v>
      </c>
      <c r="F5" s="44"/>
      <c r="G5" s="44"/>
      <c r="H5" s="44"/>
      <c r="I5" s="44"/>
      <c r="J5" s="45"/>
      <c r="K5" s="46"/>
      <c r="L5" s="46"/>
      <c r="M5" s="46"/>
    </row>
    <row r="6" spans="1:13" x14ac:dyDescent="0.25">
      <c r="A6" s="43" t="s">
        <v>34</v>
      </c>
      <c r="B6" s="80" t="s">
        <v>27</v>
      </c>
      <c r="C6" s="80"/>
      <c r="E6" s="81" t="s">
        <v>35</v>
      </c>
      <c r="F6" s="82"/>
      <c r="G6" s="82"/>
      <c r="H6" s="82"/>
      <c r="I6" s="83"/>
      <c r="J6" s="47"/>
      <c r="K6" s="48"/>
      <c r="L6" s="48"/>
      <c r="M6" s="49"/>
    </row>
    <row r="7" spans="1:13" x14ac:dyDescent="0.25">
      <c r="A7" s="43" t="s">
        <v>36</v>
      </c>
      <c r="B7" s="80" t="s">
        <v>32</v>
      </c>
      <c r="C7" s="80"/>
      <c r="E7" s="81" t="s">
        <v>37</v>
      </c>
      <c r="F7" s="82"/>
      <c r="G7" s="82"/>
      <c r="H7" s="82"/>
      <c r="I7" s="83"/>
      <c r="J7" s="84"/>
      <c r="K7" s="85"/>
      <c r="L7" s="85"/>
      <c r="M7" s="86"/>
    </row>
    <row r="8" spans="1:13" x14ac:dyDescent="0.25">
      <c r="A8" s="43" t="s">
        <v>38</v>
      </c>
      <c r="B8" s="50" t="s">
        <v>39</v>
      </c>
      <c r="C8" s="51"/>
      <c r="E8" s="81" t="s">
        <v>40</v>
      </c>
      <c r="F8" s="82"/>
      <c r="G8" s="82"/>
      <c r="H8" s="82"/>
      <c r="I8" s="87" t="s">
        <v>41</v>
      </c>
      <c r="J8" s="79"/>
      <c r="K8" s="79"/>
      <c r="L8" s="79"/>
      <c r="M8" s="79"/>
    </row>
    <row r="9" spans="1:13" x14ac:dyDescent="0.25">
      <c r="A9" s="43" t="s">
        <v>42</v>
      </c>
      <c r="B9" s="80" t="s">
        <v>43</v>
      </c>
      <c r="C9" s="80"/>
      <c r="I9" s="87"/>
      <c r="J9" s="79"/>
      <c r="K9" s="79"/>
      <c r="L9" s="79"/>
      <c r="M9" s="79"/>
    </row>
    <row r="10" spans="1:13" x14ac:dyDescent="0.25">
      <c r="A10" s="43" t="s">
        <v>44</v>
      </c>
      <c r="B10" s="52"/>
      <c r="C10" s="52"/>
      <c r="I10" s="78" t="s">
        <v>45</v>
      </c>
      <c r="J10" s="79"/>
      <c r="K10" s="79"/>
      <c r="L10" s="79"/>
      <c r="M10" s="79"/>
    </row>
    <row r="11" spans="1:13" x14ac:dyDescent="0.25">
      <c r="A11" s="43" t="s">
        <v>46</v>
      </c>
      <c r="B11" s="52"/>
      <c r="C11" s="52"/>
      <c r="I11" s="78"/>
      <c r="J11" s="79"/>
      <c r="K11" s="79"/>
      <c r="L11" s="79"/>
      <c r="M11" s="79"/>
    </row>
    <row r="12" spans="1:13" x14ac:dyDescent="0.25">
      <c r="A12" s="43" t="s">
        <v>47</v>
      </c>
      <c r="B12" s="80" t="s">
        <v>48</v>
      </c>
      <c r="C12" s="80"/>
    </row>
  </sheetData>
  <mergeCells count="22">
    <mergeCell ref="A2:C2"/>
    <mergeCell ref="E2:I2"/>
    <mergeCell ref="J2:M2"/>
    <mergeCell ref="B3:C3"/>
    <mergeCell ref="E3:I3"/>
    <mergeCell ref="J3:M3"/>
    <mergeCell ref="B4:C4"/>
    <mergeCell ref="E4:I4"/>
    <mergeCell ref="J4:M4"/>
    <mergeCell ref="B5:C5"/>
    <mergeCell ref="B6:C6"/>
    <mergeCell ref="E6:I6"/>
    <mergeCell ref="I10:I11"/>
    <mergeCell ref="J10:M11"/>
    <mergeCell ref="B12:C12"/>
    <mergeCell ref="B7:C7"/>
    <mergeCell ref="E7:I7"/>
    <mergeCell ref="J7:M7"/>
    <mergeCell ref="E8:H8"/>
    <mergeCell ref="I8:I9"/>
    <mergeCell ref="J8:M9"/>
    <mergeCell ref="B9:C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Analysis_Pivot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Kaur, Amandeep</cp:lastModifiedBy>
  <dcterms:created xsi:type="dcterms:W3CDTF">2021-07-07T06:37:20Z</dcterms:created>
  <dcterms:modified xsi:type="dcterms:W3CDTF">2021-07-30T08:21:46Z</dcterms:modified>
</cp:coreProperties>
</file>